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dvai\Documents\Internship\Force Motors\"/>
    </mc:Choice>
  </mc:AlternateContent>
  <xr:revisionPtr revIDLastSave="0" documentId="13_ncr:1_{585805D3-22DC-46F9-AA9E-61A27AB31B14}" xr6:coauthVersionLast="47" xr6:coauthVersionMax="47" xr10:uidLastSave="{00000000-0000-0000-0000-000000000000}"/>
  <bookViews>
    <workbookView xWindow="-98" yWindow="-98" windowWidth="19396" windowHeight="11475" activeTab="1" xr2:uid="{14803E34-20EE-44E8-863E-8B89B166EDFB}"/>
  </bookViews>
  <sheets>
    <sheet name="Mass Calculations" sheetId="1" r:id="rId1"/>
    <sheet name="Static and Dynamic balance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4" i="2" l="1"/>
  <c r="K34" i="2" s="1"/>
  <c r="G34" i="2"/>
  <c r="C24" i="2"/>
  <c r="G24" i="2" s="1"/>
  <c r="G19" i="2"/>
  <c r="G15" i="2"/>
  <c r="G11" i="2"/>
  <c r="G7" i="2"/>
  <c r="L14" i="2"/>
  <c r="L16" i="2"/>
  <c r="L17" i="2"/>
  <c r="I14" i="2"/>
  <c r="I16" i="2"/>
  <c r="I17" i="2"/>
  <c r="I18" i="2"/>
  <c r="L18" i="2" s="1"/>
  <c r="C30" i="2"/>
  <c r="G30" i="2" s="1"/>
  <c r="C29" i="2"/>
  <c r="C28" i="2"/>
  <c r="G28" i="2" s="1"/>
  <c r="C27" i="2"/>
  <c r="G27" i="2" s="1"/>
  <c r="C26" i="2"/>
  <c r="G26" i="2" s="1"/>
  <c r="C25" i="2"/>
  <c r="G25" i="2" s="1"/>
  <c r="I25" i="2" s="1"/>
  <c r="L25" i="2" s="1"/>
  <c r="C20" i="2"/>
  <c r="G20" i="2" s="1"/>
  <c r="I20" i="2" s="1"/>
  <c r="L20" i="2" s="1"/>
  <c r="C18" i="2"/>
  <c r="C17" i="2"/>
  <c r="C16" i="2"/>
  <c r="C14" i="2"/>
  <c r="C13" i="2"/>
  <c r="G13" i="2" s="1"/>
  <c r="I13" i="2" s="1"/>
  <c r="L13" i="2" s="1"/>
  <c r="C12" i="2"/>
  <c r="G12" i="2" s="1"/>
  <c r="C10" i="2"/>
  <c r="G10" i="2" s="1"/>
  <c r="C9" i="2"/>
  <c r="C8" i="2"/>
  <c r="C7" i="2"/>
  <c r="C15" i="2" s="1"/>
  <c r="C6" i="2"/>
  <c r="G6" i="2" s="1"/>
  <c r="C5" i="2"/>
  <c r="G5" i="2" s="1"/>
  <c r="G29" i="2"/>
  <c r="H29" i="2" s="1"/>
  <c r="M29" i="2" s="1"/>
  <c r="G31" i="2"/>
  <c r="I31" i="2" s="1"/>
  <c r="G8" i="2"/>
  <c r="I8" i="2" s="1"/>
  <c r="L8" i="2" s="1"/>
  <c r="G9" i="2"/>
  <c r="H9" i="2" s="1"/>
  <c r="M9" i="2" s="1"/>
  <c r="G14" i="2"/>
  <c r="G16" i="2"/>
  <c r="G17" i="2"/>
  <c r="G18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4" i="2"/>
  <c r="F25" i="2"/>
  <c r="F26" i="2"/>
  <c r="F27" i="2"/>
  <c r="F28" i="2"/>
  <c r="F29" i="2"/>
  <c r="F30" i="2"/>
  <c r="F31" i="2"/>
  <c r="F5" i="2"/>
  <c r="C16" i="1"/>
  <c r="C14" i="1"/>
  <c r="C13" i="1"/>
  <c r="C10" i="1"/>
  <c r="G8" i="1"/>
  <c r="G7" i="1"/>
  <c r="C7" i="1"/>
  <c r="C8" i="1" s="1"/>
  <c r="I27" i="2" l="1"/>
  <c r="L27" i="2" s="1"/>
  <c r="I29" i="2"/>
  <c r="L29" i="2" s="1"/>
  <c r="L31" i="2"/>
  <c r="H30" i="2"/>
  <c r="M30" i="2" s="1"/>
  <c r="I30" i="2"/>
  <c r="L30" i="2" s="1"/>
  <c r="I6" i="2"/>
  <c r="L6" i="2" s="1"/>
  <c r="H6" i="2"/>
  <c r="M6" i="2" s="1"/>
  <c r="H24" i="2"/>
  <c r="M24" i="2" s="1"/>
  <c r="I24" i="2"/>
  <c r="L24" i="2" s="1"/>
  <c r="H15" i="2"/>
  <c r="M15" i="2" s="1"/>
  <c r="I15" i="2"/>
  <c r="L15" i="2" s="1"/>
  <c r="H26" i="2"/>
  <c r="M26" i="2" s="1"/>
  <c r="I26" i="2"/>
  <c r="L26" i="2" s="1"/>
  <c r="H10" i="2"/>
  <c r="M10" i="2" s="1"/>
  <c r="I10" i="2"/>
  <c r="L10" i="2" s="1"/>
  <c r="H28" i="2"/>
  <c r="M28" i="2" s="1"/>
  <c r="I28" i="2"/>
  <c r="L28" i="2" s="1"/>
  <c r="H12" i="2"/>
  <c r="M12" i="2" s="1"/>
  <c r="I12" i="2"/>
  <c r="L12" i="2" s="1"/>
  <c r="C11" i="2"/>
  <c r="H16" i="2"/>
  <c r="M16" i="2" s="1"/>
  <c r="H14" i="2"/>
  <c r="M14" i="2" s="1"/>
  <c r="I9" i="2"/>
  <c r="L9" i="2" s="1"/>
  <c r="H17" i="2"/>
  <c r="M17" i="2" s="1"/>
  <c r="H31" i="2"/>
  <c r="I5" i="2"/>
  <c r="H27" i="2"/>
  <c r="M27" i="2" s="1"/>
  <c r="H20" i="2"/>
  <c r="M20" i="2" s="1"/>
  <c r="H18" i="2"/>
  <c r="M18" i="2" s="1"/>
  <c r="H13" i="2"/>
  <c r="M13" i="2" s="1"/>
  <c r="H8" i="2"/>
  <c r="M8" i="2" s="1"/>
  <c r="I7" i="2"/>
  <c r="L7" i="2" s="1"/>
  <c r="H5" i="2"/>
  <c r="H25" i="2"/>
  <c r="M25" i="2" s="1"/>
  <c r="C19" i="2"/>
  <c r="P18" i="2" l="1"/>
  <c r="I33" i="2"/>
  <c r="L33" i="2"/>
  <c r="M31" i="2"/>
  <c r="H33" i="2"/>
  <c r="H11" i="2"/>
  <c r="M11" i="2" s="1"/>
  <c r="I11" i="2"/>
  <c r="L11" i="2" s="1"/>
  <c r="L5" i="2"/>
  <c r="M5" i="2"/>
  <c r="H7" i="2"/>
  <c r="M7" i="2" s="1"/>
  <c r="M33" i="2" l="1"/>
  <c r="H19" i="2"/>
  <c r="M19" i="2" s="1"/>
  <c r="I19" i="2"/>
  <c r="I34" i="2"/>
  <c r="L19" i="2" l="1"/>
  <c r="I21" i="2"/>
  <c r="H34" i="2"/>
  <c r="H21" i="2"/>
  <c r="M21" i="2" l="1"/>
  <c r="L21" i="2"/>
  <c r="L34" i="2"/>
</calcChain>
</file>

<file path=xl/sharedStrings.xml><?xml version="1.0" encoding="utf-8"?>
<sst xmlns="http://schemas.openxmlformats.org/spreadsheetml/2006/main" count="80" uniqueCount="58">
  <si>
    <t>Balancing Sheet</t>
  </si>
  <si>
    <t>Addition of Masses</t>
  </si>
  <si>
    <t>Piston weight</t>
  </si>
  <si>
    <t>Piston assembly parts</t>
  </si>
  <si>
    <t>Piston Assembly total weight</t>
  </si>
  <si>
    <t>Con Rod Assembly</t>
  </si>
  <si>
    <t>Con Rod Rotating</t>
  </si>
  <si>
    <t>Con Rod Reciprocating</t>
  </si>
  <si>
    <t>Con Rod Dimensions</t>
  </si>
  <si>
    <t>Big end centre to small end centre</t>
  </si>
  <si>
    <t>big end centre to cog</t>
  </si>
  <si>
    <t>small end centre to cog</t>
  </si>
  <si>
    <t>/mm</t>
  </si>
  <si>
    <t>Total Rotating Mass</t>
  </si>
  <si>
    <t>Total Reciprocating Mass</t>
  </si>
  <si>
    <t>Bob Weight</t>
  </si>
  <si>
    <t>Part</t>
  </si>
  <si>
    <t>Mass</t>
  </si>
  <si>
    <t>crankpin 1</t>
  </si>
  <si>
    <t>web 1</t>
  </si>
  <si>
    <t>web 2</t>
  </si>
  <si>
    <t>bob weight 1</t>
  </si>
  <si>
    <t>web 3</t>
  </si>
  <si>
    <t>crankpin 2</t>
  </si>
  <si>
    <t>bob weight 2</t>
  </si>
  <si>
    <t>crankpin 3</t>
  </si>
  <si>
    <t>bob weight 3</t>
  </si>
  <si>
    <t>web 4</t>
  </si>
  <si>
    <t>web 5</t>
  </si>
  <si>
    <t>web 6</t>
  </si>
  <si>
    <t>web 7</t>
  </si>
  <si>
    <t>crankpin 4</t>
  </si>
  <si>
    <t>bob weight 4</t>
  </si>
  <si>
    <t>web 8</t>
  </si>
  <si>
    <t>y</t>
  </si>
  <si>
    <t>x</t>
  </si>
  <si>
    <t>Unbalance</t>
  </si>
  <si>
    <t>Counter Balance</t>
  </si>
  <si>
    <t>Counterweb 1</t>
  </si>
  <si>
    <t>Counterweb 2</t>
  </si>
  <si>
    <t>Counterweb 3</t>
  </si>
  <si>
    <t>Counterweb 4</t>
  </si>
  <si>
    <t>Counterweb 5</t>
  </si>
  <si>
    <t>Counterweb 6</t>
  </si>
  <si>
    <t>Counterweb 7</t>
  </si>
  <si>
    <t>Counterweb 8</t>
  </si>
  <si>
    <t>Static Unbalance</t>
  </si>
  <si>
    <t>Resultant</t>
  </si>
  <si>
    <t>grams</t>
  </si>
  <si>
    <t>CoG/ mm</t>
  </si>
  <si>
    <t>Distance from central journal</t>
  </si>
  <si>
    <t>Balancing Rate</t>
  </si>
  <si>
    <t>Crank Angle / (Degrees °)</t>
  </si>
  <si>
    <t>My val</t>
  </si>
  <si>
    <t>Check for consistency</t>
  </si>
  <si>
    <t>Couple Unbalance</t>
  </si>
  <si>
    <t>Total Unbalance</t>
  </si>
  <si>
    <t>Total Counter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</si>
</sst>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2" fontId="0" fillId="0" borderId="0" xfId="0" applyNumberFormat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right" vertical="center"/>
    </xf>
    <xf numFmtId="2" fontId="0" fillId="0" borderId="2" xfId="0" applyNumberFormat="1" applyBorder="1" applyAlignment="1">
      <alignment horizontal="center" vertical="center"/>
    </xf>
    <xf numFmtId="0" fontId="0" fillId="2" borderId="0" xfId="0" applyFill="1"/>
    <xf numFmtId="2" fontId="0" fillId="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0" fillId="3" borderId="0" xfId="0" applyFill="1" applyAlignment="1">
      <alignment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3E0C5-ACEC-45EC-A2DF-E92AEBB96B5C}">
  <dimension ref="B2:G16"/>
  <sheetViews>
    <sheetView workbookViewId="0">
      <selection activeCell="C16" sqref="C16"/>
    </sheetView>
  </sheetViews>
  <sheetFormatPr defaultRowHeight="14.25" x14ac:dyDescent="0.45"/>
  <cols>
    <col min="2" max="2" width="23.1328125" bestFit="1" customWidth="1"/>
    <col min="6" max="6" width="27.1328125" bestFit="1" customWidth="1"/>
  </cols>
  <sheetData>
    <row r="2" spans="2:7" x14ac:dyDescent="0.45">
      <c r="F2" t="s">
        <v>0</v>
      </c>
    </row>
    <row r="5" spans="2:7" x14ac:dyDescent="0.45">
      <c r="B5" t="s">
        <v>1</v>
      </c>
      <c r="F5" t="s">
        <v>8</v>
      </c>
      <c r="G5" t="s">
        <v>12</v>
      </c>
    </row>
    <row r="6" spans="2:7" x14ac:dyDescent="0.45">
      <c r="B6" t="s">
        <v>2</v>
      </c>
      <c r="C6">
        <v>0.68300000000000005</v>
      </c>
      <c r="F6" t="s">
        <v>9</v>
      </c>
      <c r="G6">
        <v>145.19999999999999</v>
      </c>
    </row>
    <row r="7" spans="2:7" x14ac:dyDescent="0.45">
      <c r="B7" t="s">
        <v>3</v>
      </c>
      <c r="C7">
        <f>1.082-0.683</f>
        <v>0.39900000000000002</v>
      </c>
      <c r="F7" t="s">
        <v>10</v>
      </c>
      <c r="G7">
        <f>C11/C9*G6</f>
        <v>38.862352941176475</v>
      </c>
    </row>
    <row r="8" spans="2:7" x14ac:dyDescent="0.45">
      <c r="B8" t="s">
        <v>4</v>
      </c>
      <c r="C8">
        <f>C6+C7</f>
        <v>1.0820000000000001</v>
      </c>
      <c r="F8" t="s">
        <v>11</v>
      </c>
      <c r="G8">
        <f>G6-G7</f>
        <v>106.33764705882351</v>
      </c>
    </row>
    <row r="9" spans="2:7" x14ac:dyDescent="0.45">
      <c r="B9" t="s">
        <v>5</v>
      </c>
      <c r="C9">
        <v>0.98599999999999999</v>
      </c>
    </row>
    <row r="10" spans="2:7" x14ac:dyDescent="0.45">
      <c r="B10" t="s">
        <v>6</v>
      </c>
      <c r="C10">
        <f>C9*G8/G6</f>
        <v>0.72209999999999985</v>
      </c>
    </row>
    <row r="11" spans="2:7" x14ac:dyDescent="0.45">
      <c r="B11" t="s">
        <v>7</v>
      </c>
      <c r="C11">
        <v>0.26390000000000002</v>
      </c>
    </row>
    <row r="13" spans="2:7" x14ac:dyDescent="0.45">
      <c r="B13" t="s">
        <v>13</v>
      </c>
      <c r="C13">
        <f>C10</f>
        <v>0.72209999999999985</v>
      </c>
    </row>
    <row r="14" spans="2:7" x14ac:dyDescent="0.45">
      <c r="B14" t="s">
        <v>14</v>
      </c>
      <c r="C14">
        <f>C11+C8</f>
        <v>1.3459000000000001</v>
      </c>
    </row>
    <row r="16" spans="2:7" x14ac:dyDescent="0.45">
      <c r="B16" t="s">
        <v>15</v>
      </c>
      <c r="C16">
        <f>C13+0.5*C14</f>
        <v>1.3950499999999999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4ADE8-E599-4D2C-B767-B137D4D63DA4}">
  <dimension ref="A1:P37"/>
  <sheetViews>
    <sheetView tabSelected="1" topLeftCell="A18" zoomScale="107" zoomScaleNormal="145" workbookViewId="0">
      <selection activeCell="M35" sqref="M35"/>
    </sheetView>
  </sheetViews>
  <sheetFormatPr defaultRowHeight="14.25" x14ac:dyDescent="0.45"/>
  <cols>
    <col min="2" max="2" width="13.46484375" bestFit="1" customWidth="1"/>
    <col min="3" max="4" width="9" bestFit="1" customWidth="1"/>
    <col min="5" max="5" width="10" bestFit="1" customWidth="1"/>
    <col min="6" max="6" width="11.1328125" customWidth="1"/>
    <col min="7" max="7" width="9" bestFit="1" customWidth="1"/>
    <col min="8" max="8" width="9.19921875" bestFit="1" customWidth="1"/>
    <col min="9" max="9" width="9" bestFit="1" customWidth="1"/>
    <col min="11" max="11" width="13.796875" customWidth="1"/>
    <col min="12" max="12" width="9.19921875" bestFit="1" customWidth="1"/>
    <col min="13" max="13" width="12.19921875" bestFit="1" customWidth="1"/>
    <col min="16" max="16" width="8.86328125" customWidth="1"/>
  </cols>
  <sheetData>
    <row r="1" spans="1:16" x14ac:dyDescent="0.4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6" x14ac:dyDescent="0.45">
      <c r="A2" s="5"/>
      <c r="B2" s="2"/>
      <c r="C2" s="2"/>
      <c r="D2" s="2"/>
      <c r="E2" s="2"/>
      <c r="F2" s="2"/>
      <c r="G2" s="14" t="s">
        <v>36</v>
      </c>
      <c r="H2" s="14"/>
      <c r="I2" s="14"/>
      <c r="J2" s="14"/>
      <c r="K2" s="14"/>
      <c r="L2" s="14"/>
      <c r="M2" s="14"/>
      <c r="N2" s="5"/>
    </row>
    <row r="3" spans="1:16" x14ac:dyDescent="0.45">
      <c r="A3" s="5"/>
      <c r="B3" s="2" t="s">
        <v>16</v>
      </c>
      <c r="C3" s="2" t="s">
        <v>17</v>
      </c>
      <c r="D3" s="14" t="s">
        <v>49</v>
      </c>
      <c r="E3" s="14"/>
      <c r="F3" s="15" t="s">
        <v>52</v>
      </c>
      <c r="G3" s="14" t="s">
        <v>46</v>
      </c>
      <c r="H3" s="14"/>
      <c r="I3" s="14"/>
      <c r="J3" s="5"/>
      <c r="K3" s="15" t="s">
        <v>50</v>
      </c>
      <c r="L3" s="14" t="s">
        <v>55</v>
      </c>
      <c r="M3" s="14"/>
      <c r="N3" s="5"/>
    </row>
    <row r="4" spans="1:16" x14ac:dyDescent="0.45">
      <c r="A4" s="5"/>
      <c r="B4" s="2"/>
      <c r="C4" s="2" t="s">
        <v>48</v>
      </c>
      <c r="D4" s="2" t="s">
        <v>35</v>
      </c>
      <c r="E4" s="2" t="s">
        <v>34</v>
      </c>
      <c r="F4" s="15"/>
      <c r="G4" s="2" t="s">
        <v>47</v>
      </c>
      <c r="H4" s="2" t="s">
        <v>35</v>
      </c>
      <c r="I4" s="2" t="s">
        <v>34</v>
      </c>
      <c r="J4" s="5"/>
      <c r="K4" s="15"/>
      <c r="L4" s="2" t="s">
        <v>35</v>
      </c>
      <c r="M4" s="2" t="s">
        <v>34</v>
      </c>
      <c r="N4" s="5"/>
    </row>
    <row r="5" spans="1:16" x14ac:dyDescent="0.45">
      <c r="A5" s="5"/>
      <c r="B5" s="7" t="s">
        <v>19</v>
      </c>
      <c r="C5" s="3">
        <f>0.789*1000</f>
        <v>789</v>
      </c>
      <c r="D5" s="4">
        <v>0.04</v>
      </c>
      <c r="E5" s="4">
        <v>30.457699999999999</v>
      </c>
      <c r="F5" s="3">
        <f t="shared" ref="F5:F20" si="0">MOD(DEGREES(ATAN2(E5,D5)), 360)</f>
        <v>7.5246320730517E-2</v>
      </c>
      <c r="G5" s="3">
        <f t="shared" ref="G5:G20" si="1">C5*(SQRT(D5^2+E5^2))</f>
        <v>24031.146023814596</v>
      </c>
      <c r="H5" s="3">
        <f>G5*COS(RADIANS(F5))</f>
        <v>24031.1253</v>
      </c>
      <c r="I5" s="3">
        <f>G5*SIN(RADIANS(F5))</f>
        <v>31.560000000000002</v>
      </c>
      <c r="J5" s="6"/>
      <c r="K5" s="3">
        <v>-177.584</v>
      </c>
      <c r="L5" s="3">
        <f>I5*K5</f>
        <v>-5604.5510400000003</v>
      </c>
      <c r="M5" s="3">
        <f>H5*K5</f>
        <v>-4267543.3552751997</v>
      </c>
      <c r="N5" s="5"/>
    </row>
    <row r="6" spans="1:16" x14ac:dyDescent="0.45">
      <c r="A6" s="5"/>
      <c r="B6" s="7" t="s">
        <v>18</v>
      </c>
      <c r="C6" s="3">
        <f>0.536*1000</f>
        <v>536</v>
      </c>
      <c r="D6" s="4">
        <v>-0.125</v>
      </c>
      <c r="E6" s="4">
        <v>49.954000000000001</v>
      </c>
      <c r="F6" s="3">
        <f t="shared" si="0"/>
        <v>359.85662894881443</v>
      </c>
      <c r="G6" s="3">
        <f t="shared" si="1"/>
        <v>26775.427826989733</v>
      </c>
      <c r="H6" s="3">
        <f t="shared" ref="H6:H20" si="2">G6*COS(RADIANS(F6))</f>
        <v>26775.344000000005</v>
      </c>
      <c r="I6" s="3">
        <f t="shared" ref="I6:I20" si="3">G6*SIN(RADIANS(F6))</f>
        <v>-67.000000000012022</v>
      </c>
      <c r="J6" s="6"/>
      <c r="K6" s="3">
        <v>-152.88200000000001</v>
      </c>
      <c r="L6" s="3">
        <f t="shared" ref="L6:L20" si="4">I6*K6</f>
        <v>10243.094000001838</v>
      </c>
      <c r="M6" s="3">
        <f t="shared" ref="M6:M20" si="5">H6*K6</f>
        <v>-4093468.1414080006</v>
      </c>
      <c r="N6" s="5"/>
    </row>
    <row r="7" spans="1:16" x14ac:dyDescent="0.45">
      <c r="A7" s="5"/>
      <c r="B7" s="7" t="s">
        <v>21</v>
      </c>
      <c r="C7" s="3">
        <f>'Mass Calculations'!C16*1000</f>
        <v>1395.05</v>
      </c>
      <c r="D7" s="4">
        <v>-0.125</v>
      </c>
      <c r="E7" s="4">
        <v>49.954000000000001</v>
      </c>
      <c r="F7" s="3">
        <f t="shared" si="0"/>
        <v>359.85662894881443</v>
      </c>
      <c r="G7" s="3">
        <f t="shared" si="1"/>
        <v>69688.545876944074</v>
      </c>
      <c r="H7" s="3">
        <f t="shared" si="2"/>
        <v>69688.327700000009</v>
      </c>
      <c r="I7" s="3">
        <f t="shared" si="3"/>
        <v>-174.38125000003126</v>
      </c>
      <c r="J7" s="6"/>
      <c r="K7" s="3">
        <v>-152.88200000000001</v>
      </c>
      <c r="L7" s="3">
        <f t="shared" si="4"/>
        <v>26659.754262504779</v>
      </c>
      <c r="M7" s="3">
        <f t="shared" si="5"/>
        <v>-10654090.915431403</v>
      </c>
      <c r="N7" s="5"/>
    </row>
    <row r="8" spans="1:16" x14ac:dyDescent="0.45">
      <c r="A8" s="5"/>
      <c r="B8" s="7" t="s">
        <v>20</v>
      </c>
      <c r="C8" s="3">
        <f>0.731*1000</f>
        <v>731</v>
      </c>
      <c r="D8" s="4">
        <v>0</v>
      </c>
      <c r="E8" s="4">
        <v>30.507000000000001</v>
      </c>
      <c r="F8" s="3">
        <f t="shared" si="0"/>
        <v>0</v>
      </c>
      <c r="G8" s="3">
        <f t="shared" si="1"/>
        <v>22300.617000000002</v>
      </c>
      <c r="H8" s="3">
        <f t="shared" si="2"/>
        <v>22300.617000000002</v>
      </c>
      <c r="I8" s="3">
        <f t="shared" si="3"/>
        <v>0</v>
      </c>
      <c r="J8" s="6"/>
      <c r="K8" s="3">
        <v>-128.85900000000001</v>
      </c>
      <c r="L8" s="3">
        <f t="shared" si="4"/>
        <v>0</v>
      </c>
      <c r="M8" s="3">
        <f t="shared" si="5"/>
        <v>-2873635.2060030005</v>
      </c>
      <c r="N8" s="5"/>
    </row>
    <row r="9" spans="1:16" x14ac:dyDescent="0.45">
      <c r="A9" s="5"/>
      <c r="B9" s="7" t="s">
        <v>22</v>
      </c>
      <c r="C9" s="3">
        <f>1000*0.718</f>
        <v>718</v>
      </c>
      <c r="D9" s="4">
        <v>-0.08</v>
      </c>
      <c r="E9" s="4">
        <v>-31.672999999999998</v>
      </c>
      <c r="F9" s="3">
        <f t="shared" si="0"/>
        <v>180.1447179810435</v>
      </c>
      <c r="G9" s="3">
        <f t="shared" si="1"/>
        <v>22741.286541165518</v>
      </c>
      <c r="H9" s="3">
        <f t="shared" si="2"/>
        <v>-22741.214</v>
      </c>
      <c r="I9" s="3">
        <f t="shared" si="3"/>
        <v>-57.440000000000275</v>
      </c>
      <c r="J9" s="6"/>
      <c r="K9" s="3">
        <v>-75.980999999999995</v>
      </c>
      <c r="L9" s="3">
        <f t="shared" si="4"/>
        <v>4364.3486400000202</v>
      </c>
      <c r="M9" s="3">
        <f t="shared" si="5"/>
        <v>1727900.1809339998</v>
      </c>
      <c r="N9" s="5"/>
    </row>
    <row r="10" spans="1:16" x14ac:dyDescent="0.45">
      <c r="A10" s="5"/>
      <c r="B10" s="7" t="s">
        <v>23</v>
      </c>
      <c r="C10" s="3">
        <f>1000*0.536</f>
        <v>536</v>
      </c>
      <c r="D10" s="4">
        <v>0.125</v>
      </c>
      <c r="E10" s="4">
        <v>-49.956000000000003</v>
      </c>
      <c r="F10" s="3">
        <f t="shared" si="0"/>
        <v>179.85663468868364</v>
      </c>
      <c r="G10" s="3">
        <f t="shared" si="1"/>
        <v>26776.499823633709</v>
      </c>
      <c r="H10" s="3">
        <f t="shared" si="2"/>
        <v>-26776.416000000001</v>
      </c>
      <c r="I10" s="3">
        <f t="shared" si="3"/>
        <v>66.99999999999477</v>
      </c>
      <c r="J10" s="6"/>
      <c r="K10" s="3">
        <v>-51.88</v>
      </c>
      <c r="L10" s="3">
        <f t="shared" si="4"/>
        <v>-3475.959999999729</v>
      </c>
      <c r="M10" s="3">
        <f t="shared" si="5"/>
        <v>1389160.4620800002</v>
      </c>
      <c r="N10" s="5"/>
    </row>
    <row r="11" spans="1:16" x14ac:dyDescent="0.45">
      <c r="A11" s="5"/>
      <c r="B11" s="7" t="s">
        <v>24</v>
      </c>
      <c r="C11" s="3">
        <f>C7</f>
        <v>1395.05</v>
      </c>
      <c r="D11" s="4">
        <v>0.125</v>
      </c>
      <c r="E11" s="4">
        <v>-49.956000000000003</v>
      </c>
      <c r="F11" s="3">
        <f t="shared" si="0"/>
        <v>179.85663468868364</v>
      </c>
      <c r="G11" s="3">
        <f t="shared" si="1"/>
        <v>69691.335968209343</v>
      </c>
      <c r="H11" s="3">
        <f t="shared" si="2"/>
        <v>-69691.117800000007</v>
      </c>
      <c r="I11" s="3">
        <f t="shared" si="3"/>
        <v>174.38124999998641</v>
      </c>
      <c r="J11" s="6"/>
      <c r="K11" s="3">
        <v>-51.88</v>
      </c>
      <c r="L11" s="3">
        <f t="shared" si="4"/>
        <v>-9046.8992499992946</v>
      </c>
      <c r="M11" s="3">
        <f t="shared" si="5"/>
        <v>3615575.1914640004</v>
      </c>
      <c r="N11" s="5"/>
    </row>
    <row r="12" spans="1:16" x14ac:dyDescent="0.45">
      <c r="A12" s="5"/>
      <c r="B12" s="7" t="s">
        <v>27</v>
      </c>
      <c r="C12" s="3">
        <f>1000*0.765</f>
        <v>765</v>
      </c>
      <c r="D12" s="4">
        <v>0</v>
      </c>
      <c r="E12" s="4">
        <v>-30.544</v>
      </c>
      <c r="F12" s="3">
        <f t="shared" si="0"/>
        <v>180</v>
      </c>
      <c r="G12" s="3">
        <f t="shared" si="1"/>
        <v>23366.16</v>
      </c>
      <c r="H12" s="3">
        <f t="shared" si="2"/>
        <v>-23366.16</v>
      </c>
      <c r="I12" s="3">
        <f t="shared" si="3"/>
        <v>2.8627014821147601E-12</v>
      </c>
      <c r="J12" s="6"/>
      <c r="K12" s="3">
        <v>-27.85</v>
      </c>
      <c r="L12" s="3">
        <f t="shared" si="4"/>
        <v>-7.9726236276896077E-11</v>
      </c>
      <c r="M12" s="3">
        <f t="shared" si="5"/>
        <v>650747.55599999998</v>
      </c>
      <c r="N12" s="5"/>
    </row>
    <row r="13" spans="1:16" x14ac:dyDescent="0.45">
      <c r="A13" s="5"/>
      <c r="B13" s="7" t="s">
        <v>28</v>
      </c>
      <c r="C13" s="3">
        <f>1000*0.768</f>
        <v>768</v>
      </c>
      <c r="D13" s="4">
        <v>-4.1000000000000002E-2</v>
      </c>
      <c r="E13" s="4">
        <v>-31.102</v>
      </c>
      <c r="F13" s="3">
        <f t="shared" si="0"/>
        <v>180.07552972796907</v>
      </c>
      <c r="G13" s="3">
        <f t="shared" si="1"/>
        <v>23886.356754411921</v>
      </c>
      <c r="H13" s="3">
        <f t="shared" si="2"/>
        <v>-23886.335999999999</v>
      </c>
      <c r="I13" s="3">
        <f t="shared" si="3"/>
        <v>-31.487999999995633</v>
      </c>
      <c r="J13" s="6"/>
      <c r="K13" s="3">
        <v>27.407</v>
      </c>
      <c r="L13" s="3">
        <f t="shared" si="4"/>
        <v>-862.99161599988031</v>
      </c>
      <c r="M13" s="3">
        <f t="shared" si="5"/>
        <v>-654652.81075199996</v>
      </c>
      <c r="N13" s="5"/>
    </row>
    <row r="14" spans="1:16" x14ac:dyDescent="0.45">
      <c r="A14" s="5"/>
      <c r="B14" s="7" t="s">
        <v>25</v>
      </c>
      <c r="C14" s="3">
        <f>1000*0.536</f>
        <v>536</v>
      </c>
      <c r="D14" s="4">
        <v>0.125</v>
      </c>
      <c r="E14" s="4">
        <v>-49.954000000000001</v>
      </c>
      <c r="F14" s="3">
        <f t="shared" si="0"/>
        <v>179.85662894881443</v>
      </c>
      <c r="G14" s="3">
        <f t="shared" si="1"/>
        <v>26775.427826989733</v>
      </c>
      <c r="H14" s="3">
        <f t="shared" si="2"/>
        <v>-26775.344000000005</v>
      </c>
      <c r="I14" s="3">
        <f t="shared" si="3"/>
        <v>67.00000000000874</v>
      </c>
      <c r="J14" s="6"/>
      <c r="K14" s="3">
        <v>52.118000000000002</v>
      </c>
      <c r="L14" s="3">
        <f t="shared" si="4"/>
        <v>3491.9060000004556</v>
      </c>
      <c r="M14" s="3">
        <f t="shared" si="5"/>
        <v>-1395477.3785920003</v>
      </c>
      <c r="N14" s="5"/>
    </row>
    <row r="15" spans="1:16" x14ac:dyDescent="0.45">
      <c r="A15" s="5"/>
      <c r="B15" s="7" t="s">
        <v>26</v>
      </c>
      <c r="C15" s="3">
        <f>C7</f>
        <v>1395.05</v>
      </c>
      <c r="D15" s="4">
        <v>0.125</v>
      </c>
      <c r="E15" s="4">
        <v>-49.954000000000001</v>
      </c>
      <c r="F15" s="3">
        <f t="shared" si="0"/>
        <v>179.85662894881443</v>
      </c>
      <c r="G15" s="3">
        <f t="shared" si="1"/>
        <v>69688.545876944074</v>
      </c>
      <c r="H15" s="3">
        <f t="shared" si="2"/>
        <v>-69688.327700000009</v>
      </c>
      <c r="I15" s="3">
        <f t="shared" si="3"/>
        <v>174.3812500000227</v>
      </c>
      <c r="J15" s="6"/>
      <c r="K15" s="3">
        <v>52.118000000000002</v>
      </c>
      <c r="L15" s="3">
        <f t="shared" si="4"/>
        <v>9088.4019875011836</v>
      </c>
      <c r="M15" s="3">
        <f t="shared" si="5"/>
        <v>-3632016.2630686006</v>
      </c>
      <c r="N15" s="5"/>
    </row>
    <row r="16" spans="1:16" ht="42.75" x14ac:dyDescent="0.45">
      <c r="A16" s="5"/>
      <c r="B16" s="7" t="s">
        <v>29</v>
      </c>
      <c r="C16" s="3">
        <f>1000*0.715</f>
        <v>715</v>
      </c>
      <c r="D16" s="4">
        <v>-3.7999999999999999E-2</v>
      </c>
      <c r="E16" s="4">
        <v>-31.082000000000001</v>
      </c>
      <c r="F16" s="3">
        <f t="shared" si="0"/>
        <v>180.07004821236524</v>
      </c>
      <c r="G16" s="3">
        <f t="shared" si="1"/>
        <v>22223.646608641888</v>
      </c>
      <c r="H16" s="3">
        <f t="shared" si="2"/>
        <v>-22223.630000000005</v>
      </c>
      <c r="I16" s="3">
        <f t="shared" si="3"/>
        <v>-27.169999999992967</v>
      </c>
      <c r="J16" s="6"/>
      <c r="K16" s="3">
        <v>76.134</v>
      </c>
      <c r="L16" s="3">
        <f t="shared" si="4"/>
        <v>-2068.5607799994646</v>
      </c>
      <c r="M16" s="3">
        <f t="shared" si="5"/>
        <v>-1691973.8464200003</v>
      </c>
      <c r="N16" s="5"/>
      <c r="P16" s="12" t="s">
        <v>54</v>
      </c>
    </row>
    <row r="17" spans="1:16" x14ac:dyDescent="0.45">
      <c r="A17" s="5"/>
      <c r="B17" s="7" t="s">
        <v>30</v>
      </c>
      <c r="C17" s="3">
        <f>1000*0.734</f>
        <v>734</v>
      </c>
      <c r="D17" s="4">
        <v>0.04</v>
      </c>
      <c r="E17" s="4">
        <v>31.088000000000001</v>
      </c>
      <c r="F17" s="3">
        <f t="shared" si="0"/>
        <v>7.3720725546850094E-2</v>
      </c>
      <c r="G17" s="3">
        <f t="shared" si="1"/>
        <v>22818.610888309217</v>
      </c>
      <c r="H17" s="3">
        <f t="shared" si="2"/>
        <v>22818.591999999997</v>
      </c>
      <c r="I17" s="3">
        <f t="shared" si="3"/>
        <v>29.359999999999996</v>
      </c>
      <c r="J17" s="6"/>
      <c r="K17" s="3">
        <v>129.01</v>
      </c>
      <c r="L17" s="3">
        <f t="shared" si="4"/>
        <v>3787.7335999999991</v>
      </c>
      <c r="M17" s="3">
        <f t="shared" si="5"/>
        <v>2943826.5539199994</v>
      </c>
      <c r="N17" s="5"/>
      <c r="P17" s="9" t="s">
        <v>53</v>
      </c>
    </row>
    <row r="18" spans="1:16" x14ac:dyDescent="0.45">
      <c r="A18" s="5"/>
      <c r="B18" s="7" t="s">
        <v>31</v>
      </c>
      <c r="C18" s="3">
        <f>1000*0.536</f>
        <v>536</v>
      </c>
      <c r="D18" s="4">
        <v>-0.125</v>
      </c>
      <c r="E18" s="4">
        <v>49.956000000000003</v>
      </c>
      <c r="F18" s="3">
        <f t="shared" si="0"/>
        <v>359.85663468868364</v>
      </c>
      <c r="G18" s="3">
        <f t="shared" si="1"/>
        <v>26776.499823633709</v>
      </c>
      <c r="H18" s="3">
        <f t="shared" si="2"/>
        <v>26776.416000000001</v>
      </c>
      <c r="I18" s="3">
        <f t="shared" si="3"/>
        <v>-66.999999999998053</v>
      </c>
      <c r="J18" s="6"/>
      <c r="K18" s="3">
        <v>153.12</v>
      </c>
      <c r="L18" s="3">
        <f t="shared" si="4"/>
        <v>-10259.039999999703</v>
      </c>
      <c r="M18" s="3">
        <f t="shared" si="5"/>
        <v>4100004.8179200003</v>
      </c>
      <c r="N18" s="5"/>
      <c r="P18" s="13">
        <f>-M24/H31</f>
        <v>169.8396715965153</v>
      </c>
    </row>
    <row r="19" spans="1:16" x14ac:dyDescent="0.45">
      <c r="A19" s="5"/>
      <c r="B19" s="7" t="s">
        <v>32</v>
      </c>
      <c r="C19" s="3">
        <f>C7</f>
        <v>1395.05</v>
      </c>
      <c r="D19" s="4">
        <v>-0.125</v>
      </c>
      <c r="E19" s="4">
        <v>49.956000000000003</v>
      </c>
      <c r="F19" s="3">
        <f t="shared" si="0"/>
        <v>359.85663468868364</v>
      </c>
      <c r="G19" s="3">
        <f t="shared" si="1"/>
        <v>69691.335968209343</v>
      </c>
      <c r="H19" s="3">
        <f t="shared" si="2"/>
        <v>69691.117800000007</v>
      </c>
      <c r="I19" s="3">
        <f t="shared" si="3"/>
        <v>-174.38124999999496</v>
      </c>
      <c r="J19" s="6"/>
      <c r="K19" s="3">
        <v>153.12</v>
      </c>
      <c r="L19" s="3">
        <f t="shared" si="4"/>
        <v>-26701.25699999923</v>
      </c>
      <c r="M19" s="3">
        <f t="shared" si="5"/>
        <v>10671103.957536001</v>
      </c>
      <c r="N19" s="5"/>
    </row>
    <row r="20" spans="1:16" x14ac:dyDescent="0.45">
      <c r="A20" s="5"/>
      <c r="B20" s="7" t="s">
        <v>33</v>
      </c>
      <c r="C20" s="3">
        <f>1000*0.788</f>
        <v>788</v>
      </c>
      <c r="D20" s="4">
        <v>0</v>
      </c>
      <c r="E20" s="4">
        <v>30.047000000000001</v>
      </c>
      <c r="F20" s="3">
        <f t="shared" si="0"/>
        <v>0</v>
      </c>
      <c r="G20" s="3">
        <f t="shared" si="1"/>
        <v>23677.036</v>
      </c>
      <c r="H20" s="3">
        <f t="shared" si="2"/>
        <v>23677.036</v>
      </c>
      <c r="I20" s="3">
        <f t="shared" si="3"/>
        <v>0</v>
      </c>
      <c r="J20" s="6"/>
      <c r="K20" s="3">
        <v>177.72499999999999</v>
      </c>
      <c r="L20" s="3">
        <f t="shared" si="4"/>
        <v>0</v>
      </c>
      <c r="M20" s="3">
        <f t="shared" si="5"/>
        <v>4208001.2231000001</v>
      </c>
      <c r="N20" s="5"/>
    </row>
    <row r="21" spans="1:16" x14ac:dyDescent="0.45">
      <c r="A21" s="5"/>
      <c r="B21" s="2" t="s">
        <v>56</v>
      </c>
      <c r="C21" s="3"/>
      <c r="D21" s="4"/>
      <c r="E21" s="4"/>
      <c r="F21" s="3"/>
      <c r="G21" s="3"/>
      <c r="H21" s="3">
        <f>SUM(H5:H20)</f>
        <v>610.03029999999126</v>
      </c>
      <c r="I21" s="3">
        <f>SUM(I5:I20)</f>
        <v>-55.178000000009703</v>
      </c>
      <c r="J21" s="6"/>
      <c r="K21" s="3"/>
      <c r="L21" s="3">
        <f>SUM(L5:L20)</f>
        <v>-384.02119598909849</v>
      </c>
      <c r="M21" s="3">
        <f>SUM(M5:M20)</f>
        <v>43462.026003793813</v>
      </c>
      <c r="N21" s="5"/>
    </row>
    <row r="22" spans="1:16" x14ac:dyDescent="0.45">
      <c r="A22" s="5"/>
      <c r="B22" s="2"/>
      <c r="C22" s="3"/>
      <c r="D22" s="4"/>
      <c r="E22" s="4"/>
      <c r="F22" s="3"/>
      <c r="G22" s="3"/>
      <c r="J22" s="6"/>
      <c r="K22" s="6"/>
      <c r="N22" s="5"/>
    </row>
    <row r="23" spans="1:16" x14ac:dyDescent="0.45">
      <c r="A23" s="5"/>
      <c r="B23" s="2"/>
      <c r="C23" s="3"/>
      <c r="D23" s="4"/>
      <c r="E23" s="4"/>
      <c r="F23" s="3"/>
      <c r="G23" s="14" t="s">
        <v>37</v>
      </c>
      <c r="H23" s="14"/>
      <c r="I23" s="14"/>
      <c r="J23" s="14"/>
      <c r="K23" s="14"/>
      <c r="L23" s="14"/>
      <c r="M23" s="14"/>
      <c r="N23" s="5"/>
    </row>
    <row r="24" spans="1:16" x14ac:dyDescent="0.45">
      <c r="A24" s="5"/>
      <c r="B24" s="2" t="s">
        <v>38</v>
      </c>
      <c r="C24" s="10">
        <f>1000*1.019</f>
        <v>1018.9999999999999</v>
      </c>
      <c r="D24" s="11">
        <v>-2E-3</v>
      </c>
      <c r="E24" s="11">
        <v>-30.933</v>
      </c>
      <c r="F24" s="3">
        <f t="shared" ref="F24:F31" si="6">MOD(DEGREES(ATAN2(E24,D24)), 360)</f>
        <v>180.00370450841712</v>
      </c>
      <c r="G24" s="8">
        <f>C24*(SQRT(D24^2+E24^2))</f>
        <v>31520.727065884326</v>
      </c>
      <c r="H24" s="8">
        <f t="shared" ref="H24:H31" si="7">G24*COS(RADIANS(F24))</f>
        <v>-31520.726999999995</v>
      </c>
      <c r="I24" s="8">
        <f>G24*SIN(RADIANS(F24))</f>
        <v>-2.0380000000045557</v>
      </c>
      <c r="J24" s="6"/>
      <c r="K24" s="8">
        <v>-178.43799999999999</v>
      </c>
      <c r="L24" s="8">
        <f t="shared" ref="L24:L31" si="8">I24*K24</f>
        <v>363.65664400081289</v>
      </c>
      <c r="M24" s="8">
        <f t="shared" ref="M24:M31" si="9">H24*K24</f>
        <v>5624495.4844259992</v>
      </c>
      <c r="N24" s="5"/>
    </row>
    <row r="25" spans="1:16" x14ac:dyDescent="0.45">
      <c r="A25" s="5"/>
      <c r="B25" s="2" t="s">
        <v>39</v>
      </c>
      <c r="C25" s="3">
        <f>1000*0.992</f>
        <v>992</v>
      </c>
      <c r="D25" s="4">
        <v>0</v>
      </c>
      <c r="E25" s="4">
        <v>-30.95</v>
      </c>
      <c r="F25" s="3">
        <f t="shared" si="6"/>
        <v>180</v>
      </c>
      <c r="G25" s="3">
        <f t="shared" ref="G25:G31" si="10">C25*(SQRT(D25^2+E25^2))</f>
        <v>30702.399999999998</v>
      </c>
      <c r="H25" s="3">
        <f t="shared" si="7"/>
        <v>-30702.399999999998</v>
      </c>
      <c r="I25" s="3">
        <f t="shared" ref="I25:I31" si="11">G25*SIN(RADIANS(F25))</f>
        <v>3.7614997921986415E-12</v>
      </c>
      <c r="J25" s="6"/>
      <c r="K25" s="3">
        <v>-128.22200000000001</v>
      </c>
      <c r="L25" s="3">
        <f t="shared" si="8"/>
        <v>-4.8230702635529422E-10</v>
      </c>
      <c r="M25" s="3">
        <f t="shared" si="9"/>
        <v>3936723.1327999998</v>
      </c>
      <c r="N25" s="5"/>
      <c r="P25" s="1"/>
    </row>
    <row r="26" spans="1:16" x14ac:dyDescent="0.45">
      <c r="A26" s="5"/>
      <c r="B26" s="2" t="s">
        <v>40</v>
      </c>
      <c r="C26" s="3">
        <f>1000*0.92</f>
        <v>920</v>
      </c>
      <c r="D26" s="4">
        <v>0</v>
      </c>
      <c r="E26" s="4">
        <v>32.6</v>
      </c>
      <c r="F26" s="3">
        <f t="shared" si="6"/>
        <v>0</v>
      </c>
      <c r="G26" s="3">
        <f t="shared" si="10"/>
        <v>29992</v>
      </c>
      <c r="H26" s="3">
        <f t="shared" si="7"/>
        <v>29992</v>
      </c>
      <c r="I26" s="3">
        <f t="shared" si="11"/>
        <v>0</v>
      </c>
      <c r="J26" s="6"/>
      <c r="K26" s="3">
        <v>-76.688000000000002</v>
      </c>
      <c r="L26" s="3">
        <f t="shared" si="8"/>
        <v>0</v>
      </c>
      <c r="M26" s="3">
        <f t="shared" si="9"/>
        <v>-2300026.4960000003</v>
      </c>
      <c r="N26" s="5"/>
    </row>
    <row r="27" spans="1:16" x14ac:dyDescent="0.45">
      <c r="A27" s="5"/>
      <c r="B27" s="2" t="s">
        <v>41</v>
      </c>
      <c r="C27" s="3">
        <f>1000*1.004</f>
        <v>1004</v>
      </c>
      <c r="D27" s="4">
        <v>0</v>
      </c>
      <c r="E27" s="4">
        <v>32.6</v>
      </c>
      <c r="F27" s="3">
        <f t="shared" si="6"/>
        <v>0</v>
      </c>
      <c r="G27" s="3">
        <f t="shared" si="10"/>
        <v>32730.400000000001</v>
      </c>
      <c r="H27" s="3">
        <f t="shared" si="7"/>
        <v>32730.400000000001</v>
      </c>
      <c r="I27" s="3">
        <f t="shared" si="11"/>
        <v>0</v>
      </c>
      <c r="J27" s="6"/>
      <c r="K27" s="3">
        <v>-26.472999999999999</v>
      </c>
      <c r="L27" s="3">
        <f t="shared" si="8"/>
        <v>0</v>
      </c>
      <c r="M27" s="3">
        <f t="shared" si="9"/>
        <v>-866471.87919999997</v>
      </c>
      <c r="N27" s="5"/>
    </row>
    <row r="28" spans="1:16" x14ac:dyDescent="0.45">
      <c r="A28" s="5"/>
      <c r="B28" s="2" t="s">
        <v>42</v>
      </c>
      <c r="C28" s="3">
        <f>1000*1.004</f>
        <v>1004</v>
      </c>
      <c r="D28" s="4">
        <v>0</v>
      </c>
      <c r="E28" s="4">
        <v>32.6</v>
      </c>
      <c r="F28" s="3">
        <f t="shared" si="6"/>
        <v>0</v>
      </c>
      <c r="G28" s="3">
        <f t="shared" si="10"/>
        <v>32730.400000000001</v>
      </c>
      <c r="H28" s="3">
        <f t="shared" si="7"/>
        <v>32730.400000000001</v>
      </c>
      <c r="I28" s="3">
        <f t="shared" si="11"/>
        <v>0</v>
      </c>
      <c r="J28" s="6"/>
      <c r="K28" s="3">
        <v>26.562000000000001</v>
      </c>
      <c r="L28" s="3">
        <f t="shared" si="8"/>
        <v>0</v>
      </c>
      <c r="M28" s="3">
        <f t="shared" si="9"/>
        <v>869384.88480000012</v>
      </c>
      <c r="N28" s="5"/>
    </row>
    <row r="29" spans="1:16" x14ac:dyDescent="0.45">
      <c r="A29" s="5"/>
      <c r="B29" s="2" t="s">
        <v>43</v>
      </c>
      <c r="C29" s="3">
        <f>1000*0.92</f>
        <v>920</v>
      </c>
      <c r="D29" s="4">
        <v>0</v>
      </c>
      <c r="E29" s="4">
        <v>32.6</v>
      </c>
      <c r="F29" s="3">
        <f t="shared" si="6"/>
        <v>0</v>
      </c>
      <c r="G29" s="3">
        <f t="shared" si="10"/>
        <v>29992</v>
      </c>
      <c r="H29" s="3">
        <f t="shared" si="7"/>
        <v>29992</v>
      </c>
      <c r="I29" s="3">
        <f t="shared" si="11"/>
        <v>0</v>
      </c>
      <c r="J29" s="6"/>
      <c r="K29" s="10">
        <v>76.777000000000001</v>
      </c>
      <c r="L29" s="3">
        <f t="shared" si="8"/>
        <v>0</v>
      </c>
      <c r="M29" s="3">
        <f t="shared" si="9"/>
        <v>2302695.784</v>
      </c>
      <c r="N29" s="5"/>
    </row>
    <row r="30" spans="1:16" x14ac:dyDescent="0.45">
      <c r="A30" s="5"/>
      <c r="B30" s="2" t="s">
        <v>44</v>
      </c>
      <c r="C30" s="3">
        <f>1000*0.992</f>
        <v>992</v>
      </c>
      <c r="D30" s="4">
        <v>0</v>
      </c>
      <c r="E30" s="4">
        <v>-30.95</v>
      </c>
      <c r="F30" s="3">
        <f t="shared" si="6"/>
        <v>180</v>
      </c>
      <c r="G30" s="3">
        <f t="shared" si="10"/>
        <v>30702.399999999998</v>
      </c>
      <c r="H30" s="3">
        <f t="shared" si="7"/>
        <v>-30702.399999999998</v>
      </c>
      <c r="I30" s="3">
        <f t="shared" si="11"/>
        <v>3.7614997921986415E-12</v>
      </c>
      <c r="J30" s="6"/>
      <c r="K30" s="3">
        <v>128.31100000000001</v>
      </c>
      <c r="L30" s="3">
        <f t="shared" si="8"/>
        <v>4.8264179983679991E-10</v>
      </c>
      <c r="M30" s="3">
        <f t="shared" si="9"/>
        <v>-3939455.6464</v>
      </c>
      <c r="N30" s="5"/>
    </row>
    <row r="31" spans="1:16" x14ac:dyDescent="0.45">
      <c r="A31" s="5"/>
      <c r="B31" s="2" t="s">
        <v>45</v>
      </c>
      <c r="C31" s="10">
        <v>1070</v>
      </c>
      <c r="D31" s="4">
        <v>0</v>
      </c>
      <c r="E31" s="4">
        <v>-30.95</v>
      </c>
      <c r="F31" s="3">
        <f t="shared" si="6"/>
        <v>180</v>
      </c>
      <c r="G31" s="3">
        <f t="shared" si="10"/>
        <v>33116.5</v>
      </c>
      <c r="H31" s="3">
        <f t="shared" si="7"/>
        <v>-33116.5</v>
      </c>
      <c r="I31" s="3">
        <f t="shared" si="11"/>
        <v>4.0572628806981315E-12</v>
      </c>
      <c r="J31" s="6"/>
      <c r="K31" s="3">
        <v>178.52799999999999</v>
      </c>
      <c r="L31" s="3">
        <f t="shared" si="8"/>
        <v>7.2433502756527595E-10</v>
      </c>
      <c r="M31" s="3">
        <f t="shared" si="9"/>
        <v>-5912222.5120000001</v>
      </c>
      <c r="N31" s="5"/>
    </row>
    <row r="32" spans="1:16" x14ac:dyDescent="0.45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5"/>
    </row>
    <row r="33" spans="1:14" x14ac:dyDescent="0.45">
      <c r="A33" s="5"/>
      <c r="B33" s="2" t="s">
        <v>57</v>
      </c>
      <c r="C33" s="3"/>
      <c r="D33" s="3"/>
      <c r="E33" s="3"/>
      <c r="F33" s="3"/>
      <c r="G33" s="3"/>
      <c r="H33" s="3">
        <f>SUM(H24:H31)</f>
        <v>-597.22699999998804</v>
      </c>
      <c r="I33" s="3">
        <f t="shared" ref="I33:M33" si="12">SUM(I24:I31)</f>
        <v>-2.0379999999929757</v>
      </c>
      <c r="J33" s="6"/>
      <c r="K33" s="3"/>
      <c r="L33" s="3">
        <f t="shared" si="12"/>
        <v>363.65664400153759</v>
      </c>
      <c r="M33" s="3">
        <f t="shared" si="12"/>
        <v>-284877.24757400248</v>
      </c>
      <c r="N33" s="5"/>
    </row>
    <row r="34" spans="1:14" x14ac:dyDescent="0.45">
      <c r="A34" s="5"/>
      <c r="B34" s="2" t="s">
        <v>47</v>
      </c>
      <c r="C34" s="3"/>
      <c r="D34" s="3"/>
      <c r="E34" s="3"/>
      <c r="F34" s="3"/>
      <c r="G34" s="3">
        <f>SQRT(H34^2+I34^2)</f>
        <v>58.63100840758495</v>
      </c>
      <c r="H34" s="3">
        <f>SUM(H5:H20,H24:H31)</f>
        <v>12.803299999999581</v>
      </c>
      <c r="I34" s="3">
        <f>SUM(I5:I20,I24:I31)</f>
        <v>-57.216000000002687</v>
      </c>
      <c r="J34" s="6"/>
      <c r="K34" s="3">
        <f>SQRT(L34^2+M34^2)</f>
        <v>154.76566601689817</v>
      </c>
      <c r="L34" s="3">
        <f>SUM(L5:L20,L24:L31)</f>
        <v>-20.364551987560926</v>
      </c>
      <c r="M34" s="3">
        <f>153.42</f>
        <v>153.41999999999999</v>
      </c>
      <c r="N34" s="5"/>
    </row>
    <row r="35" spans="1:14" x14ac:dyDescent="0.4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4" x14ac:dyDescent="0.45">
      <c r="A36" s="5"/>
      <c r="B36" s="5" t="s">
        <v>51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1:14" x14ac:dyDescent="0.4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</sheetData>
  <mergeCells count="7">
    <mergeCell ref="G3:I3"/>
    <mergeCell ref="D3:E3"/>
    <mergeCell ref="K3:K4"/>
    <mergeCell ref="G2:M2"/>
    <mergeCell ref="G23:M23"/>
    <mergeCell ref="F3:F4"/>
    <mergeCell ref="L3:M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B89BC-98C9-49D5-8E42-8D309B8FE6BE}">
  <dimension ref="C4:C23"/>
  <sheetViews>
    <sheetView workbookViewId="0">
      <selection activeCell="D4" sqref="D4:F22"/>
    </sheetView>
  </sheetViews>
  <sheetFormatPr defaultRowHeight="14.25" x14ac:dyDescent="0.45"/>
  <sheetData>
    <row r="4" spans="3:3" ht="14.25" customHeight="1" x14ac:dyDescent="0.45">
      <c r="C4" s="2" t="s">
        <v>16</v>
      </c>
    </row>
    <row r="5" spans="3:3" x14ac:dyDescent="0.45">
      <c r="C5" s="2"/>
    </row>
    <row r="6" spans="3:3" x14ac:dyDescent="0.45">
      <c r="C6" s="7" t="s">
        <v>19</v>
      </c>
    </row>
    <row r="7" spans="3:3" x14ac:dyDescent="0.45">
      <c r="C7" s="7" t="s">
        <v>18</v>
      </c>
    </row>
    <row r="8" spans="3:3" x14ac:dyDescent="0.45">
      <c r="C8" s="7" t="s">
        <v>21</v>
      </c>
    </row>
    <row r="9" spans="3:3" x14ac:dyDescent="0.45">
      <c r="C9" s="7" t="s">
        <v>20</v>
      </c>
    </row>
    <row r="10" spans="3:3" x14ac:dyDescent="0.45">
      <c r="C10" s="7" t="s">
        <v>22</v>
      </c>
    </row>
    <row r="11" spans="3:3" x14ac:dyDescent="0.45">
      <c r="C11" s="7" t="s">
        <v>23</v>
      </c>
    </row>
    <row r="12" spans="3:3" x14ac:dyDescent="0.45">
      <c r="C12" s="7" t="s">
        <v>24</v>
      </c>
    </row>
    <row r="13" spans="3:3" x14ac:dyDescent="0.45">
      <c r="C13" s="7" t="s">
        <v>27</v>
      </c>
    </row>
    <row r="14" spans="3:3" x14ac:dyDescent="0.45">
      <c r="C14" s="7" t="s">
        <v>28</v>
      </c>
    </row>
    <row r="15" spans="3:3" x14ac:dyDescent="0.45">
      <c r="C15" s="7" t="s">
        <v>25</v>
      </c>
    </row>
    <row r="16" spans="3:3" x14ac:dyDescent="0.45">
      <c r="C16" s="7" t="s">
        <v>26</v>
      </c>
    </row>
    <row r="17" spans="3:3" x14ac:dyDescent="0.45">
      <c r="C17" s="7" t="s">
        <v>29</v>
      </c>
    </row>
    <row r="18" spans="3:3" x14ac:dyDescent="0.45">
      <c r="C18" s="7" t="s">
        <v>30</v>
      </c>
    </row>
    <row r="19" spans="3:3" x14ac:dyDescent="0.45">
      <c r="C19" s="7" t="s">
        <v>31</v>
      </c>
    </row>
    <row r="20" spans="3:3" x14ac:dyDescent="0.45">
      <c r="C20" s="7" t="s">
        <v>32</v>
      </c>
    </row>
    <row r="21" spans="3:3" x14ac:dyDescent="0.45">
      <c r="C21" s="7" t="s">
        <v>33</v>
      </c>
    </row>
    <row r="22" spans="3:3" x14ac:dyDescent="0.45">
      <c r="C22" s="2"/>
    </row>
    <row r="23" spans="3:3" x14ac:dyDescent="0.45">
      <c r="C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Mass Calculations</vt:lpstr>
      <vt:lpstr>Static and Dynamic balance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Chordia, Advait</dc:creator>
  <cp:lastModifiedBy>Chordia, Advait</cp:lastModifiedBy>
  <dcterms:created xsi:type="dcterms:W3CDTF">2025-07-09T16:07:27Z</dcterms:created>
  <dcterms:modified xsi:type="dcterms:W3CDTF">2025-07-21T15:55:49Z</dcterms:modified>
</cp:coreProperties>
</file>